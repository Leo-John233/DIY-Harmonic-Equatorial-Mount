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6CC97C6D-CDB1-4D4B-8EDD-E5D3793D8C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<sst xmlns="http://schemas.openxmlformats.org/spreadsheetml/2006/main" count="432" uniqueCount="251">
  <si>
    <t/>
  </si>
  <si>
    <t xml:space="preserve">Bill of Materials </t>
  </si>
  <si>
    <t>BOM_Leo_V1_STEP/DIR/SPI_Schematic1_2026-03-24</t>
  </si>
  <si>
    <t>Project Title：</t>
  </si>
  <si>
    <t>OnStep</t>
  </si>
  <si>
    <t>Variant:</t>
  </si>
  <si>
    <t xml:space="preserve"> </t>
  </si>
  <si>
    <t>Report Time：</t>
  </si>
  <si>
    <t>2026年3月24日 21:23:40</t>
  </si>
  <si>
    <t>No.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</si>
  <si>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</si>
  <si>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</si>
  <si>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</si>
  <si>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</si>
  <si>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</si>
  <si>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</si>
  <si>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</si>
  <si>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CR1220-2</t>
  </si>
  <si>
    <t>B1</t>
  </si>
  <si>
    <t>BAT-SMD_CR1220-2</t>
  </si>
  <si>
    <t>QIJEY</t>
  </si>
  <si>
    <t>C70381</t>
  </si>
  <si>
    <t>TS-1101-C-W</t>
  </si>
  <si>
    <t>BOOT, RESET</t>
  </si>
  <si>
    <t>SW-SMD_L6.0-W3.3-LS8.0</t>
  </si>
  <si>
    <t>XKB Connectivity(中国星坤)</t>
  </si>
  <si>
    <t>C318938</t>
  </si>
  <si>
    <t>WAFER-XH254Z-2A</t>
  </si>
  <si>
    <t>BRAKE</t>
  </si>
  <si>
    <t>CONN-TH_2P-P2.50_XH-2A_3045048</t>
  </si>
  <si>
    <t>HANBO(汉博)</t>
  </si>
  <si>
    <t>C7432682</t>
  </si>
  <si>
    <t>100uF</t>
  </si>
  <si>
    <t>C1, C6, C7</t>
  </si>
  <si>
    <t>C1210</t>
  </si>
  <si>
    <t>EMK325ABJ107MM-T</t>
  </si>
  <si>
    <t>TAIYO YUDEN(太诱)</t>
  </si>
  <si>
    <t>C394395</t>
  </si>
  <si>
    <t>4.7uF</t>
  </si>
  <si>
    <t>C2, C3</t>
  </si>
  <si>
    <t>C0603_1</t>
  </si>
  <si>
    <t>10nF</t>
  </si>
  <si>
    <t>C4, C5, C8, C10</t>
  </si>
  <si>
    <t>10uF</t>
  </si>
  <si>
    <t>C9</t>
  </si>
  <si>
    <t>C11, C13, C15, C17</t>
  </si>
  <si>
    <t>C0805</t>
  </si>
  <si>
    <t>CL21A106KAYNNNE</t>
  </si>
  <si>
    <t>SAMSUNG(三星)</t>
  </si>
  <si>
    <t>C15850</t>
  </si>
  <si>
    <t>100nF</t>
  </si>
  <si>
    <t>C12, C14, C16, C18</t>
  </si>
  <si>
    <t>C0603</t>
  </si>
  <si>
    <t>CL10B104KB8NNNC</t>
  </si>
  <si>
    <t>C1591</t>
  </si>
  <si>
    <t>C19, C24, C25, C26, C27</t>
  </si>
  <si>
    <t>C20</t>
  </si>
  <si>
    <t>CASE-A_3216</t>
  </si>
  <si>
    <t>T491A106K010AT</t>
  </si>
  <si>
    <t>KEMET(基美)</t>
  </si>
  <si>
    <t>C1508940</t>
  </si>
  <si>
    <t>C21</t>
  </si>
  <si>
    <t>CGA0603X7R104K500JT</t>
  </si>
  <si>
    <t>HRE(芯声)</t>
  </si>
  <si>
    <t>C6119867</t>
  </si>
  <si>
    <t>C22</t>
  </si>
  <si>
    <t>CGA0603X5R106K100JT</t>
  </si>
  <si>
    <t>C6119842</t>
  </si>
  <si>
    <t>1uF</t>
  </si>
  <si>
    <t>C23</t>
  </si>
  <si>
    <t>C28, C29</t>
  </si>
  <si>
    <t>CAP-SMD_BD6.3-L6.6-W6.6-LS7.3-FD-H7.7</t>
  </si>
  <si>
    <t>JVJ50V100M6x8</t>
  </si>
  <si>
    <t>JIERR(捷而瑞)</t>
  </si>
  <si>
    <t>C46550415</t>
  </si>
  <si>
    <t>XT30U-M</t>
  </si>
  <si>
    <t>CN1</t>
  </si>
  <si>
    <t>CONN-TH_XT30U-M</t>
  </si>
  <si>
    <t>AMASS(艾迈斯)</t>
  </si>
  <si>
    <t>C99101</t>
  </si>
  <si>
    <t>RA-XH254</t>
  </si>
  <si>
    <t>CN2</t>
  </si>
  <si>
    <t>CONN-TH_XH-4A</t>
  </si>
  <si>
    <t>WAFER-XH254Z-4A</t>
  </si>
  <si>
    <t>C7432684</t>
  </si>
  <si>
    <t>DEC-XH254</t>
  </si>
  <si>
    <t>CN3</t>
  </si>
  <si>
    <t>SK1045C</t>
  </si>
  <si>
    <t>D1</t>
  </si>
  <si>
    <t>SMC_L6.9-W5.9-LS7.9-RD</t>
  </si>
  <si>
    <t>R+O(宏嘉诚)</t>
  </si>
  <si>
    <t>C18199212</t>
  </si>
  <si>
    <t>SMAJ28A</t>
  </si>
  <si>
    <t>D2</t>
  </si>
  <si>
    <t>SMA_L4.3-W2.6-LS5.2-RD</t>
  </si>
  <si>
    <t>晶导微电子</t>
  </si>
  <si>
    <t>C353458</t>
  </si>
  <si>
    <t>1N5819W</t>
  </si>
  <si>
    <t>D3, D6, D7</t>
  </si>
  <si>
    <t>SOD-123_L2.7-W1.6-LS3.7-RD</t>
  </si>
  <si>
    <t>GOODWORK(固得沃克)</t>
  </si>
  <si>
    <t>C41431973</t>
  </si>
  <si>
    <t>SMF5.0A</t>
  </si>
  <si>
    <t>D4</t>
  </si>
  <si>
    <t>SOD-123FL_L2.7-W1.8-LS3.8-RD</t>
  </si>
  <si>
    <t>C19077497</t>
  </si>
  <si>
    <t>1N4007</t>
  </si>
  <si>
    <t>D5</t>
  </si>
  <si>
    <t>SMA_L4.3-W2.5-LS5.0-RD</t>
  </si>
  <si>
    <t>TWGMC(迪嘉)</t>
  </si>
  <si>
    <t>C727081</t>
  </si>
  <si>
    <t>DC005</t>
  </si>
  <si>
    <t>DC1</t>
  </si>
  <si>
    <t>DC-IN-TH_DC005</t>
  </si>
  <si>
    <t>SHOU HAN(首韩)</t>
  </si>
  <si>
    <t>C431533</t>
  </si>
  <si>
    <t>K0805L100AR</t>
  </si>
  <si>
    <t>F1</t>
  </si>
  <si>
    <t>F0805</t>
  </si>
  <si>
    <t>KUU</t>
  </si>
  <si>
    <t>C2892413</t>
  </si>
  <si>
    <t>HC-ZH1.5-2A</t>
  </si>
  <si>
    <t>HOME-BUTTON, POWER-LED, STATUS-LED</t>
  </si>
  <si>
    <t>CONN-TH_2P-P1.50_HCTL_HC-ZH1.5-2A</t>
  </si>
  <si>
    <t>HCTL(华灿天禄)</t>
  </si>
  <si>
    <t>C2845550</t>
  </si>
  <si>
    <t>15uH</t>
  </si>
  <si>
    <t>L1</t>
  </si>
  <si>
    <t>IND-SMD_L7.0-W6.6</t>
  </si>
  <si>
    <t>FXL0650-150-M</t>
  </si>
  <si>
    <t>cjiang(长江微电)</t>
  </si>
  <si>
    <t>C475522</t>
  </si>
  <si>
    <t>GL0603UR01</t>
  </si>
  <si>
    <t>LINK-LED</t>
  </si>
  <si>
    <t>LED0603-FD</t>
  </si>
  <si>
    <t>Guiguang light(桂光光电)</t>
  </si>
  <si>
    <t>C51933292</t>
  </si>
  <si>
    <t>SS8050</t>
  </si>
  <si>
    <t>Q1, Q2</t>
  </si>
  <si>
    <t>SOT-23-3_L2.9-W1.3-P1.90-LS2.4-BR</t>
  </si>
  <si>
    <t>JSMSEMI(杰盛微)</t>
  </si>
  <si>
    <t>C916392</t>
  </si>
  <si>
    <t>10K</t>
  </si>
  <si>
    <t>R1</t>
  </si>
  <si>
    <t>R0603_1</t>
  </si>
  <si>
    <t>3.16K</t>
  </si>
  <si>
    <t>R2</t>
  </si>
  <si>
    <t>510Ω</t>
  </si>
  <si>
    <t>R3, R4</t>
  </si>
  <si>
    <t>R0603</t>
  </si>
  <si>
    <t>0603WAF5100T5E</t>
  </si>
  <si>
    <t>UNI-ROYAL(厚声)</t>
  </si>
  <si>
    <t>C23193</t>
  </si>
  <si>
    <t>12kΩ</t>
  </si>
  <si>
    <t>R5, R6</t>
  </si>
  <si>
    <t>0603WAF1202T5E</t>
  </si>
  <si>
    <t>C22790</t>
  </si>
  <si>
    <t>2K</t>
  </si>
  <si>
    <t>R7</t>
  </si>
  <si>
    <t>4.7K</t>
  </si>
  <si>
    <t>R8, R12, R13, R14, R15</t>
  </si>
  <si>
    <t>R9, R11</t>
  </si>
  <si>
    <t>3.3K</t>
  </si>
  <si>
    <t>R10, R16</t>
  </si>
  <si>
    <t>5301-6P6C</t>
  </si>
  <si>
    <t>RJ1</t>
  </si>
  <si>
    <t>RJ45-TH_5301-6P6C</t>
  </si>
  <si>
    <t>EVERCOM(恒连)</t>
  </si>
  <si>
    <t>C3097716</t>
  </si>
  <si>
    <t>4.7kΩ</t>
  </si>
  <si>
    <t>RN1, RN2</t>
  </si>
  <si>
    <t>RES-ARRAY-SMD_0603-8P-L3.2-W1.6-BL</t>
  </si>
  <si>
    <t>4D03WGJ0472T5E</t>
  </si>
  <si>
    <t>C1980</t>
  </si>
  <si>
    <t>ZX-PZ1.27-1-2PZZ</t>
  </si>
  <si>
    <t>RST, SPI</t>
  </si>
  <si>
    <t>HDR-TH_2P-P1.27-V-M-2</t>
  </si>
  <si>
    <t>Megastar(兆星)</t>
  </si>
  <si>
    <t>C41370734</t>
  </si>
  <si>
    <t>M3螺孔</t>
  </si>
  <si>
    <t>TP1, TP2, TP3, TP4</t>
  </si>
  <si>
    <t>M3螺孔外直径6MM</t>
  </si>
  <si>
    <t>TPS5450DDAR</t>
  </si>
  <si>
    <t>U1</t>
  </si>
  <si>
    <t>SOP-8_L4.9-W3.9-P1.27-LS6.0-BL-EP</t>
  </si>
  <si>
    <t>TI(德州仪器)</t>
  </si>
  <si>
    <t>C114425</t>
  </si>
  <si>
    <t>AMS1117-3.3</t>
  </si>
  <si>
    <t>U2, U3</t>
  </si>
  <si>
    <t>SOT-223-4_L6.5-W3.5-P2.30-LS7.0-BR</t>
  </si>
  <si>
    <t>UMW(友台半导体)</t>
  </si>
  <si>
    <t>C347222</t>
  </si>
  <si>
    <t>CP2102-GMR</t>
  </si>
  <si>
    <t>U4</t>
  </si>
  <si>
    <t>WQFN-28_L5.0-W5.0-P0.50-BL-EP3.2</t>
  </si>
  <si>
    <t>SKYWORKS/SILICON LABS(芯科)</t>
  </si>
  <si>
    <t>C6568</t>
  </si>
  <si>
    <t>ESP32-WROOM-32E-N16</t>
  </si>
  <si>
    <t>U5</t>
  </si>
  <si>
    <t>WIFI-SMD_ESP32-WROOM-32E</t>
  </si>
  <si>
    <t>ESPRESSIF(乐鑫)</t>
  </si>
  <si>
    <t>C701343</t>
  </si>
  <si>
    <t>ESP-07S</t>
  </si>
  <si>
    <t>U6</t>
  </si>
  <si>
    <t>WIRELM-SMD_ESP-07S</t>
  </si>
  <si>
    <t>2.4GHz</t>
  </si>
  <si>
    <t>Ai-Thinker(安信可)</t>
  </si>
  <si>
    <t>C82895</t>
  </si>
  <si>
    <t>DS3231SN#</t>
  </si>
  <si>
    <t>U7</t>
  </si>
  <si>
    <t>SOIC-16_L10.3-W7.5-P1.27-LS10.3-BL</t>
  </si>
  <si>
    <t>ADI(亚德诺)/MAXIM(美信)</t>
  </si>
  <si>
    <t>C722469</t>
  </si>
  <si>
    <t>HOME-RA</t>
  </si>
  <si>
    <t>U8</t>
  </si>
  <si>
    <t>CONN-TH_XH-3A</t>
  </si>
  <si>
    <t>C7432683</t>
  </si>
  <si>
    <t>LIMIT-RA</t>
  </si>
  <si>
    <t>U9</t>
  </si>
  <si>
    <t>HOME-DEC</t>
  </si>
  <si>
    <t>U10</t>
  </si>
  <si>
    <t>LIMIT-DEC</t>
  </si>
  <si>
    <t>U11</t>
  </si>
  <si>
    <t>TMC2209-RA</t>
  </si>
  <si>
    <t>U12</t>
  </si>
  <si>
    <t>TMC2209</t>
  </si>
  <si>
    <t>TMC2209-DEC</t>
  </si>
  <si>
    <t>U13</t>
  </si>
  <si>
    <t>USB-B10-BRW</t>
  </si>
  <si>
    <t>USB1</t>
  </si>
  <si>
    <t>USB-B-TH_USB-B10-BRW</t>
  </si>
  <si>
    <t>XUNPU(讯普)</t>
  </si>
  <si>
    <t>C720549</t>
  </si>
  <si>
    <t>Project Title</t>
  </si>
  <si>
    <t>Borard Title</t>
  </si>
  <si>
    <t>Leo_V1_STEP/DIR/SPI</t>
  </si>
  <si>
    <t>Schematic Title</t>
  </si>
  <si>
    <t>Schematic1</t>
  </si>
  <si>
    <t>PCB Title</t>
  </si>
  <si>
    <t>Variant Name</t>
  </si>
  <si>
    <t>Total Quantity</t>
  </si>
  <si>
    <t>Report Time</t>
  </si>
  <si>
    <t>21:23:40</t>
  </si>
  <si>
    <t>Report Date</t>
  </si>
  <si>
    <t>2026年3月24日</t>
  </si>
  <si>
    <t>Report Date&amp;Time</t>
  </si>
  <si>
    <t>File Name</t>
  </si>
  <si>
    <t>Filter Option</t>
  </si>
  <si>
    <t xml:space="preserve">Add into BOM:no; </t>
  </si>
  <si>
    <t>Quantity</t>
    <phoneticPr fontId="3" type="noConversion"/>
  </si>
  <si>
    <t>BOM_Leo_V1_STEP/DIR/SPI_Schematic1_2026-03-24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</si>
</sst>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/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2</xdr:col>
      <xdr:colOff>2257541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showGridLines="0" tabSelected="1" topLeftCell="A16" zoomScale="115" zoomScaleNormal="115" workbookViewId="0">
      <selection activeCell="G67" sqref="G67"/>
    </sheetView>
  </sheetViews>
  <sheetFormatPr defaultColWidth="9" defaultRowHeight="14.25" customHeight="1" x14ac:dyDescent="0.25"/>
  <cols>
    <col min="1" max="1" width="16.26953125" customWidth="1"/>
    <col min="2" max="2" width="18" customWidth="1"/>
    <col min="3" max="3" width="41.54296875" bestFit="1" customWidth="1"/>
    <col min="4" max="4" width="42.08984375" bestFit="1" customWidth="1"/>
    <col min="5" max="5" width="16.6328125" customWidth="1"/>
    <col min="6" max="6" width="25.36328125" bestFit="1" customWidth="1"/>
    <col min="7" max="7" width="30.36328125" bestFit="1" customWidth="1"/>
    <col min="8" max="8" width="13.36328125" customWidth="1"/>
    <col min="9" max="9" width="17.08984375" customWidth="1"/>
  </cols>
  <sheetData>
    <row r="1" spans="1:9" ht="14.25" customHeight="1" x14ac:dyDescent="0.25">
      <c r="A1" s="6" t="s">
        <v>0</v>
      </c>
      <c r="B1" s="6"/>
      <c r="C1" s="6"/>
      <c r="D1" s="7" t="s">
        <v>1</v>
      </c>
      <c r="E1" s="9" t="s">
        <v>250</v>
      </c>
      <c r="F1" t="s">
        <v>0</v>
      </c>
      <c r="G1" t="s">
        <v>0</v>
      </c>
      <c r="H1" t="s">
        <v>0</v>
      </c>
    </row>
    <row r="2" spans="1:9" ht="14.25" customHeight="1" x14ac:dyDescent="0.25">
      <c r="A2" s="6"/>
      <c r="B2" s="6"/>
      <c r="C2" s="6"/>
      <c r="D2" s="7"/>
      <c r="E2" s="7"/>
      <c r="F2" t="s">
        <v>0</v>
      </c>
      <c r="G2" t="s">
        <v>0</v>
      </c>
      <c r="H2" t="s">
        <v>0</v>
      </c>
    </row>
    <row r="3" spans="1:9" ht="14.25" customHeight="1" x14ac:dyDescent="0.3">
      <c r="A3" s="6"/>
      <c r="B3" s="6"/>
      <c r="C3" s="6"/>
      <c r="D3" s="1" t="s">
        <v>3</v>
      </c>
      <c r="E3" t="s">
        <v>4</v>
      </c>
      <c r="F3" t="s">
        <v>0</v>
      </c>
      <c r="G3" t="s">
        <v>0</v>
      </c>
      <c r="H3" t="s">
        <v>0</v>
      </c>
    </row>
    <row r="4" spans="1:9" ht="14.25" customHeight="1" x14ac:dyDescent="0.3">
      <c r="A4" s="6"/>
      <c r="B4" s="6"/>
      <c r="C4" s="6"/>
      <c r="D4" s="1" t="s">
        <v>5</v>
      </c>
      <c r="E4" t="s">
        <v>6</v>
      </c>
      <c r="F4" t="s">
        <v>0</v>
      </c>
      <c r="G4" t="s">
        <v>0</v>
      </c>
      <c r="H4" t="s">
        <v>0</v>
      </c>
    </row>
    <row r="5" spans="1:9" ht="14.25" customHeight="1" x14ac:dyDescent="0.3">
      <c r="A5" s="6"/>
      <c r="B5" s="6"/>
      <c r="C5" s="6"/>
      <c r="D5" s="1" t="s">
        <v>7</v>
      </c>
      <c r="E5" t="s">
        <v>8</v>
      </c>
      <c r="F5" t="s">
        <v>0</v>
      </c>
      <c r="G5" t="s">
        <v>0</v>
      </c>
      <c r="H5" t="s">
        <v>0</v>
      </c>
    </row>
    <row r="6" spans="1:9" ht="14.25" customHeight="1" x14ac:dyDescent="0.3">
      <c r="A6" s="2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8" t="s">
        <v>249</v>
      </c>
    </row>
    <row r="7" spans="1:9" ht="14.25" customHeight="1" x14ac:dyDescent="0.3">
      <c r="A7" s="4">
        <f t="shared" ref="A7:A38" si="0">ROW()-6</f>
        <v>1</v>
      </c>
      <c r="B7" s="5" t="s">
        <v>17</v>
      </c>
      <c r="C7" s="5" t="s">
        <v>18</v>
      </c>
      <c r="D7" s="5" t="s">
        <v>19</v>
      </c>
      <c r="E7" s="5" t="s">
        <v>0</v>
      </c>
      <c r="F7" s="5" t="s">
        <v>17</v>
      </c>
      <c r="G7" s="5" t="s">
        <v>20</v>
      </c>
      <c r="H7" s="5" t="s">
        <v>21</v>
      </c>
      <c r="I7" s="5">
        <v>1</v>
      </c>
    </row>
    <row r="8" spans="1:9" ht="14.25" customHeight="1" x14ac:dyDescent="0.3">
      <c r="A8" s="4">
        <f t="shared" si="0"/>
        <v>2</v>
      </c>
      <c r="B8" s="5" t="s">
        <v>22</v>
      </c>
      <c r="C8" s="5" t="s">
        <v>23</v>
      </c>
      <c r="D8" s="5" t="s">
        <v>24</v>
      </c>
      <c r="E8" s="5" t="s">
        <v>0</v>
      </c>
      <c r="F8" s="5" t="s">
        <v>22</v>
      </c>
      <c r="G8" s="5" t="s">
        <v>25</v>
      </c>
      <c r="H8" s="5" t="s">
        <v>26</v>
      </c>
      <c r="I8" s="5">
        <v>2</v>
      </c>
    </row>
    <row r="9" spans="1:9" ht="14.25" customHeight="1" x14ac:dyDescent="0.3">
      <c r="A9" s="4">
        <f t="shared" si="0"/>
        <v>3</v>
      </c>
      <c r="B9" s="5" t="s">
        <v>27</v>
      </c>
      <c r="C9" s="5" t="s">
        <v>28</v>
      </c>
      <c r="D9" s="5" t="s">
        <v>29</v>
      </c>
      <c r="E9" s="5" t="s">
        <v>0</v>
      </c>
      <c r="F9" s="5" t="s">
        <v>27</v>
      </c>
      <c r="G9" s="5" t="s">
        <v>30</v>
      </c>
      <c r="H9" s="5" t="s">
        <v>31</v>
      </c>
      <c r="I9" s="5">
        <v>1</v>
      </c>
    </row>
    <row r="10" spans="1:9" ht="14.25" customHeight="1" x14ac:dyDescent="0.3">
      <c r="A10" s="4">
        <f t="shared" si="0"/>
        <v>4</v>
      </c>
      <c r="B10" s="5" t="s">
        <v>32</v>
      </c>
      <c r="C10" s="5" t="s">
        <v>33</v>
      </c>
      <c r="D10" s="5" t="s">
        <v>34</v>
      </c>
      <c r="E10" s="5" t="s">
        <v>32</v>
      </c>
      <c r="F10" s="5" t="s">
        <v>35</v>
      </c>
      <c r="G10" s="5" t="s">
        <v>36</v>
      </c>
      <c r="H10" s="5" t="s">
        <v>37</v>
      </c>
      <c r="I10" s="5">
        <v>3</v>
      </c>
    </row>
    <row r="11" spans="1:9" ht="14.25" customHeight="1" x14ac:dyDescent="0.3">
      <c r="A11" s="4">
        <f t="shared" si="0"/>
        <v>5</v>
      </c>
      <c r="B11" s="5" t="s">
        <v>38</v>
      </c>
      <c r="C11" s="5" t="s">
        <v>39</v>
      </c>
      <c r="D11" s="5" t="s">
        <v>40</v>
      </c>
      <c r="E11" s="5" t="s">
        <v>38</v>
      </c>
      <c r="F11" s="5" t="s">
        <v>0</v>
      </c>
      <c r="G11" s="5" t="s">
        <v>0</v>
      </c>
      <c r="H11" s="5" t="s">
        <v>0</v>
      </c>
      <c r="I11" s="5">
        <v>2</v>
      </c>
    </row>
    <row r="12" spans="1:9" ht="14.25" customHeight="1" x14ac:dyDescent="0.3">
      <c r="A12" s="4">
        <f t="shared" si="0"/>
        <v>6</v>
      </c>
      <c r="B12" s="5" t="s">
        <v>41</v>
      </c>
      <c r="C12" s="5" t="s">
        <v>42</v>
      </c>
      <c r="D12" s="5" t="s">
        <v>40</v>
      </c>
      <c r="E12" s="5" t="s">
        <v>41</v>
      </c>
      <c r="F12" s="5" t="s">
        <v>0</v>
      </c>
      <c r="G12" s="5" t="s">
        <v>0</v>
      </c>
      <c r="H12" s="5" t="s">
        <v>0</v>
      </c>
      <c r="I12" s="5">
        <v>4</v>
      </c>
    </row>
    <row r="13" spans="1:9" ht="14.25" customHeight="1" x14ac:dyDescent="0.3">
      <c r="A13" s="4">
        <f t="shared" si="0"/>
        <v>7</v>
      </c>
      <c r="B13" s="5" t="s">
        <v>43</v>
      </c>
      <c r="C13" s="5" t="s">
        <v>44</v>
      </c>
      <c r="D13" s="5" t="s">
        <v>40</v>
      </c>
      <c r="E13" s="5" t="s">
        <v>43</v>
      </c>
      <c r="F13" s="5" t="s">
        <v>0</v>
      </c>
      <c r="G13" s="5" t="s">
        <v>0</v>
      </c>
      <c r="H13" s="5" t="s">
        <v>0</v>
      </c>
      <c r="I13" s="5">
        <v>1</v>
      </c>
    </row>
    <row r="14" spans="1:9" ht="14.25" customHeight="1" x14ac:dyDescent="0.3">
      <c r="A14" s="4">
        <f t="shared" si="0"/>
        <v>8</v>
      </c>
      <c r="B14" s="5" t="s">
        <v>43</v>
      </c>
      <c r="C14" s="5" t="s">
        <v>45</v>
      </c>
      <c r="D14" s="5" t="s">
        <v>46</v>
      </c>
      <c r="E14" s="5" t="s">
        <v>43</v>
      </c>
      <c r="F14" s="5" t="s">
        <v>47</v>
      </c>
      <c r="G14" s="5" t="s">
        <v>48</v>
      </c>
      <c r="H14" s="5" t="s">
        <v>49</v>
      </c>
      <c r="I14" s="5">
        <v>4</v>
      </c>
    </row>
    <row r="15" spans="1:9" ht="14.25" customHeight="1" x14ac:dyDescent="0.3">
      <c r="A15" s="4">
        <f t="shared" si="0"/>
        <v>9</v>
      </c>
      <c r="B15" s="5" t="s">
        <v>50</v>
      </c>
      <c r="C15" s="5" t="s">
        <v>51</v>
      </c>
      <c r="D15" s="5" t="s">
        <v>52</v>
      </c>
      <c r="E15" s="5" t="s">
        <v>50</v>
      </c>
      <c r="F15" s="5" t="s">
        <v>53</v>
      </c>
      <c r="G15" s="5" t="s">
        <v>48</v>
      </c>
      <c r="H15" s="5" t="s">
        <v>54</v>
      </c>
      <c r="I15" s="5">
        <v>4</v>
      </c>
    </row>
    <row r="16" spans="1:9" ht="14.25" customHeight="1" x14ac:dyDescent="0.3">
      <c r="A16" s="4">
        <f t="shared" si="0"/>
        <v>10</v>
      </c>
      <c r="B16" s="5" t="s">
        <v>50</v>
      </c>
      <c r="C16" s="5" t="s">
        <v>55</v>
      </c>
      <c r="D16" s="5" t="s">
        <v>52</v>
      </c>
      <c r="E16" s="5" t="s">
        <v>50</v>
      </c>
      <c r="F16" s="5" t="s">
        <v>0</v>
      </c>
      <c r="G16" s="5" t="s">
        <v>0</v>
      </c>
      <c r="H16" s="5" t="s">
        <v>0</v>
      </c>
      <c r="I16" s="5">
        <v>5</v>
      </c>
    </row>
    <row r="17" spans="1:9" ht="14.25" customHeight="1" x14ac:dyDescent="0.3">
      <c r="A17" s="4">
        <f t="shared" si="0"/>
        <v>11</v>
      </c>
      <c r="B17" s="5" t="s">
        <v>43</v>
      </c>
      <c r="C17" s="5" t="s">
        <v>56</v>
      </c>
      <c r="D17" s="5" t="s">
        <v>57</v>
      </c>
      <c r="E17" s="5" t="s">
        <v>0</v>
      </c>
      <c r="F17" s="5" t="s">
        <v>58</v>
      </c>
      <c r="G17" s="5" t="s">
        <v>59</v>
      </c>
      <c r="H17" s="5" t="s">
        <v>60</v>
      </c>
      <c r="I17" s="5">
        <v>1</v>
      </c>
    </row>
    <row r="18" spans="1:9" ht="14.25" customHeight="1" x14ac:dyDescent="0.3">
      <c r="A18" s="4">
        <f t="shared" si="0"/>
        <v>12</v>
      </c>
      <c r="B18" s="5" t="s">
        <v>50</v>
      </c>
      <c r="C18" s="5" t="s">
        <v>61</v>
      </c>
      <c r="D18" s="5" t="s">
        <v>52</v>
      </c>
      <c r="E18" s="5" t="s">
        <v>50</v>
      </c>
      <c r="F18" s="5" t="s">
        <v>62</v>
      </c>
      <c r="G18" s="5" t="s">
        <v>63</v>
      </c>
      <c r="H18" s="5" t="s">
        <v>64</v>
      </c>
      <c r="I18" s="5">
        <v>1</v>
      </c>
    </row>
    <row r="19" spans="1:9" ht="14.25" customHeight="1" x14ac:dyDescent="0.3">
      <c r="A19" s="4">
        <f t="shared" si="0"/>
        <v>13</v>
      </c>
      <c r="B19" s="5" t="s">
        <v>43</v>
      </c>
      <c r="C19" s="5" t="s">
        <v>65</v>
      </c>
      <c r="D19" s="5" t="s">
        <v>52</v>
      </c>
      <c r="E19" s="5" t="s">
        <v>43</v>
      </c>
      <c r="F19" s="5" t="s">
        <v>66</v>
      </c>
      <c r="G19" s="5" t="s">
        <v>63</v>
      </c>
      <c r="H19" s="5" t="s">
        <v>67</v>
      </c>
      <c r="I19" s="5">
        <v>1</v>
      </c>
    </row>
    <row r="20" spans="1:9" ht="14.25" customHeight="1" x14ac:dyDescent="0.3">
      <c r="A20" s="4">
        <f t="shared" si="0"/>
        <v>14</v>
      </c>
      <c r="B20" s="5" t="s">
        <v>68</v>
      </c>
      <c r="C20" s="5" t="s">
        <v>69</v>
      </c>
      <c r="D20" s="5" t="s">
        <v>52</v>
      </c>
      <c r="E20" s="5" t="s">
        <v>68</v>
      </c>
      <c r="F20" s="5" t="s">
        <v>0</v>
      </c>
      <c r="G20" s="5" t="s">
        <v>0</v>
      </c>
      <c r="H20" s="5" t="s">
        <v>0</v>
      </c>
      <c r="I20" s="5">
        <v>1</v>
      </c>
    </row>
    <row r="21" spans="1:9" ht="14.25" customHeight="1" x14ac:dyDescent="0.3">
      <c r="A21" s="4">
        <f t="shared" si="0"/>
        <v>15</v>
      </c>
      <c r="B21" s="5" t="s">
        <v>32</v>
      </c>
      <c r="C21" s="5" t="s">
        <v>70</v>
      </c>
      <c r="D21" s="5" t="s">
        <v>71</v>
      </c>
      <c r="E21" s="5" t="s">
        <v>32</v>
      </c>
      <c r="F21" s="5" t="s">
        <v>72</v>
      </c>
      <c r="G21" s="5" t="s">
        <v>73</v>
      </c>
      <c r="H21" s="5" t="s">
        <v>74</v>
      </c>
      <c r="I21" s="5">
        <v>2</v>
      </c>
    </row>
    <row r="22" spans="1:9" ht="14.25" customHeight="1" x14ac:dyDescent="0.3">
      <c r="A22" s="4">
        <f t="shared" si="0"/>
        <v>16</v>
      </c>
      <c r="B22" s="5" t="s">
        <v>75</v>
      </c>
      <c r="C22" s="5" t="s">
        <v>76</v>
      </c>
      <c r="D22" s="5" t="s">
        <v>77</v>
      </c>
      <c r="E22" s="5" t="s">
        <v>0</v>
      </c>
      <c r="F22" s="5" t="s">
        <v>75</v>
      </c>
      <c r="G22" s="5" t="s">
        <v>78</v>
      </c>
      <c r="H22" s="5" t="s">
        <v>79</v>
      </c>
      <c r="I22" s="5">
        <v>1</v>
      </c>
    </row>
    <row r="23" spans="1:9" ht="14.25" customHeight="1" x14ac:dyDescent="0.3">
      <c r="A23" s="4">
        <f t="shared" si="0"/>
        <v>17</v>
      </c>
      <c r="B23" s="5" t="s">
        <v>80</v>
      </c>
      <c r="C23" s="5" t="s">
        <v>81</v>
      </c>
      <c r="D23" s="5" t="s">
        <v>82</v>
      </c>
      <c r="E23" s="5" t="s">
        <v>0</v>
      </c>
      <c r="F23" s="5" t="s">
        <v>83</v>
      </c>
      <c r="G23" s="5" t="s">
        <v>30</v>
      </c>
      <c r="H23" s="5" t="s">
        <v>84</v>
      </c>
      <c r="I23" s="5">
        <v>1</v>
      </c>
    </row>
    <row r="24" spans="1:9" ht="14.25" customHeight="1" x14ac:dyDescent="0.3">
      <c r="A24" s="4">
        <f t="shared" si="0"/>
        <v>18</v>
      </c>
      <c r="B24" s="5" t="s">
        <v>85</v>
      </c>
      <c r="C24" s="5" t="s">
        <v>86</v>
      </c>
      <c r="D24" s="5" t="s">
        <v>82</v>
      </c>
      <c r="E24" s="5" t="s">
        <v>0</v>
      </c>
      <c r="F24" s="5" t="s">
        <v>83</v>
      </c>
      <c r="G24" s="5" t="s">
        <v>30</v>
      </c>
      <c r="H24" s="5" t="s">
        <v>84</v>
      </c>
      <c r="I24" s="5">
        <v>1</v>
      </c>
    </row>
    <row r="25" spans="1:9" ht="14.25" customHeight="1" x14ac:dyDescent="0.3">
      <c r="A25" s="4">
        <f t="shared" si="0"/>
        <v>19</v>
      </c>
      <c r="B25" s="5" t="s">
        <v>87</v>
      </c>
      <c r="C25" s="5" t="s">
        <v>88</v>
      </c>
      <c r="D25" s="5" t="s">
        <v>89</v>
      </c>
      <c r="E25" s="5" t="s">
        <v>0</v>
      </c>
      <c r="F25" s="5" t="s">
        <v>87</v>
      </c>
      <c r="G25" s="5" t="s">
        <v>90</v>
      </c>
      <c r="H25" s="5" t="s">
        <v>91</v>
      </c>
      <c r="I25" s="5">
        <v>1</v>
      </c>
    </row>
    <row r="26" spans="1:9" ht="14.25" customHeight="1" x14ac:dyDescent="0.3">
      <c r="A26" s="4">
        <f t="shared" si="0"/>
        <v>20</v>
      </c>
      <c r="B26" s="5" t="s">
        <v>92</v>
      </c>
      <c r="C26" s="5" t="s">
        <v>93</v>
      </c>
      <c r="D26" s="5" t="s">
        <v>94</v>
      </c>
      <c r="E26" s="5" t="s">
        <v>0</v>
      </c>
      <c r="F26" s="5" t="s">
        <v>92</v>
      </c>
      <c r="G26" s="5" t="s">
        <v>95</v>
      </c>
      <c r="H26" s="5" t="s">
        <v>96</v>
      </c>
      <c r="I26" s="5">
        <v>1</v>
      </c>
    </row>
    <row r="27" spans="1:9" ht="14.25" customHeight="1" x14ac:dyDescent="0.3">
      <c r="A27" s="4">
        <f t="shared" si="0"/>
        <v>21</v>
      </c>
      <c r="B27" s="5" t="s">
        <v>97</v>
      </c>
      <c r="C27" s="5" t="s">
        <v>98</v>
      </c>
      <c r="D27" s="5" t="s">
        <v>99</v>
      </c>
      <c r="E27" s="5" t="s">
        <v>0</v>
      </c>
      <c r="F27" s="5" t="s">
        <v>97</v>
      </c>
      <c r="G27" s="5" t="s">
        <v>100</v>
      </c>
      <c r="H27" s="5" t="s">
        <v>101</v>
      </c>
      <c r="I27" s="5">
        <v>3</v>
      </c>
    </row>
    <row r="28" spans="1:9" ht="14.25" customHeight="1" x14ac:dyDescent="0.3">
      <c r="A28" s="4">
        <f t="shared" si="0"/>
        <v>22</v>
      </c>
      <c r="B28" s="5" t="s">
        <v>102</v>
      </c>
      <c r="C28" s="5" t="s">
        <v>103</v>
      </c>
      <c r="D28" s="5" t="s">
        <v>104</v>
      </c>
      <c r="E28" s="5" t="s">
        <v>0</v>
      </c>
      <c r="F28" s="5" t="s">
        <v>102</v>
      </c>
      <c r="G28" s="5" t="s">
        <v>90</v>
      </c>
      <c r="H28" s="5" t="s">
        <v>105</v>
      </c>
      <c r="I28" s="5">
        <v>1</v>
      </c>
    </row>
    <row r="29" spans="1:9" ht="14.25" customHeight="1" x14ac:dyDescent="0.3">
      <c r="A29" s="4">
        <f t="shared" si="0"/>
        <v>23</v>
      </c>
      <c r="B29" s="5" t="s">
        <v>106</v>
      </c>
      <c r="C29" s="5" t="s">
        <v>107</v>
      </c>
      <c r="D29" s="5" t="s">
        <v>108</v>
      </c>
      <c r="E29" s="5" t="s">
        <v>0</v>
      </c>
      <c r="F29" s="5" t="s">
        <v>106</v>
      </c>
      <c r="G29" s="5" t="s">
        <v>109</v>
      </c>
      <c r="H29" s="5" t="s">
        <v>110</v>
      </c>
      <c r="I29" s="5">
        <v>1</v>
      </c>
    </row>
    <row r="30" spans="1:9" ht="14.25" customHeight="1" x14ac:dyDescent="0.3">
      <c r="A30" s="4">
        <f t="shared" si="0"/>
        <v>24</v>
      </c>
      <c r="B30" s="5" t="s">
        <v>111</v>
      </c>
      <c r="C30" s="5" t="s">
        <v>112</v>
      </c>
      <c r="D30" s="5" t="s">
        <v>113</v>
      </c>
      <c r="E30" s="5" t="s">
        <v>0</v>
      </c>
      <c r="F30" s="5" t="s">
        <v>111</v>
      </c>
      <c r="G30" s="5" t="s">
        <v>114</v>
      </c>
      <c r="H30" s="5" t="s">
        <v>115</v>
      </c>
      <c r="I30" s="5">
        <v>1</v>
      </c>
    </row>
    <row r="31" spans="1:9" ht="14.25" customHeight="1" x14ac:dyDescent="0.3">
      <c r="A31" s="4">
        <f t="shared" si="0"/>
        <v>25</v>
      </c>
      <c r="B31" s="5" t="s">
        <v>116</v>
      </c>
      <c r="C31" s="5" t="s">
        <v>117</v>
      </c>
      <c r="D31" s="5" t="s">
        <v>118</v>
      </c>
      <c r="E31" s="5" t="s">
        <v>0</v>
      </c>
      <c r="F31" s="5" t="s">
        <v>116</v>
      </c>
      <c r="G31" s="5" t="s">
        <v>119</v>
      </c>
      <c r="H31" s="5" t="s">
        <v>120</v>
      </c>
      <c r="I31" s="5">
        <v>1</v>
      </c>
    </row>
    <row r="32" spans="1:9" ht="14.25" customHeight="1" x14ac:dyDescent="0.3">
      <c r="A32" s="4">
        <f t="shared" si="0"/>
        <v>26</v>
      </c>
      <c r="B32" s="5" t="s">
        <v>121</v>
      </c>
      <c r="C32" s="5" t="s">
        <v>122</v>
      </c>
      <c r="D32" s="5" t="s">
        <v>123</v>
      </c>
      <c r="E32" s="5" t="s">
        <v>0</v>
      </c>
      <c r="F32" s="5" t="s">
        <v>121</v>
      </c>
      <c r="G32" s="5" t="s">
        <v>124</v>
      </c>
      <c r="H32" s="5" t="s">
        <v>125</v>
      </c>
      <c r="I32" s="5">
        <v>3</v>
      </c>
    </row>
    <row r="33" spans="1:9" ht="14.25" customHeight="1" x14ac:dyDescent="0.3">
      <c r="A33" s="4">
        <f t="shared" si="0"/>
        <v>27</v>
      </c>
      <c r="B33" s="5" t="s">
        <v>126</v>
      </c>
      <c r="C33" s="5" t="s">
        <v>127</v>
      </c>
      <c r="D33" s="5" t="s">
        <v>128</v>
      </c>
      <c r="E33" s="5" t="s">
        <v>126</v>
      </c>
      <c r="F33" s="5" t="s">
        <v>129</v>
      </c>
      <c r="G33" s="5" t="s">
        <v>130</v>
      </c>
      <c r="H33" s="5" t="s">
        <v>131</v>
      </c>
      <c r="I33" s="5">
        <v>1</v>
      </c>
    </row>
    <row r="34" spans="1:9" ht="14.25" customHeight="1" x14ac:dyDescent="0.3">
      <c r="A34" s="4">
        <f t="shared" si="0"/>
        <v>28</v>
      </c>
      <c r="B34" s="5" t="s">
        <v>132</v>
      </c>
      <c r="C34" s="5" t="s">
        <v>133</v>
      </c>
      <c r="D34" s="5" t="s">
        <v>134</v>
      </c>
      <c r="E34" s="5" t="s">
        <v>0</v>
      </c>
      <c r="F34" s="5" t="s">
        <v>132</v>
      </c>
      <c r="G34" s="5" t="s">
        <v>135</v>
      </c>
      <c r="H34" s="5" t="s">
        <v>136</v>
      </c>
      <c r="I34" s="5">
        <v>1</v>
      </c>
    </row>
    <row r="35" spans="1:9" ht="14.5" x14ac:dyDescent="0.3">
      <c r="A35" s="4">
        <f t="shared" si="0"/>
        <v>29</v>
      </c>
      <c r="B35" s="5" t="s">
        <v>137</v>
      </c>
      <c r="C35" s="5" t="s">
        <v>138</v>
      </c>
      <c r="D35" s="5" t="s">
        <v>139</v>
      </c>
      <c r="E35" s="5" t="s">
        <v>0</v>
      </c>
      <c r="F35" s="5" t="s">
        <v>137</v>
      </c>
      <c r="G35" s="5" t="s">
        <v>140</v>
      </c>
      <c r="H35" s="5" t="s">
        <v>141</v>
      </c>
      <c r="I35" s="5">
        <v>2</v>
      </c>
    </row>
    <row r="36" spans="1:9" ht="14.5" x14ac:dyDescent="0.3">
      <c r="A36" s="4">
        <f t="shared" si="0"/>
        <v>30</v>
      </c>
      <c r="B36" s="5" t="s">
        <v>142</v>
      </c>
      <c r="C36" s="5" t="s">
        <v>143</v>
      </c>
      <c r="D36" s="5" t="s">
        <v>144</v>
      </c>
      <c r="E36" s="5" t="s">
        <v>142</v>
      </c>
      <c r="F36" s="5" t="s">
        <v>0</v>
      </c>
      <c r="G36" s="5" t="s">
        <v>0</v>
      </c>
      <c r="H36" s="5" t="s">
        <v>0</v>
      </c>
      <c r="I36" s="5">
        <v>1</v>
      </c>
    </row>
    <row r="37" spans="1:9" ht="14.5" x14ac:dyDescent="0.3">
      <c r="A37" s="4">
        <f t="shared" si="0"/>
        <v>31</v>
      </c>
      <c r="B37" s="5" t="s">
        <v>145</v>
      </c>
      <c r="C37" s="5" t="s">
        <v>146</v>
      </c>
      <c r="D37" s="5" t="s">
        <v>144</v>
      </c>
      <c r="E37" s="5" t="s">
        <v>145</v>
      </c>
      <c r="F37" s="5" t="s">
        <v>0</v>
      </c>
      <c r="G37" s="5" t="s">
        <v>0</v>
      </c>
      <c r="H37" s="5" t="s">
        <v>0</v>
      </c>
      <c r="I37" s="5">
        <v>1</v>
      </c>
    </row>
    <row r="38" spans="1:9" ht="14.5" x14ac:dyDescent="0.3">
      <c r="A38" s="4">
        <f t="shared" si="0"/>
        <v>32</v>
      </c>
      <c r="B38" s="5" t="s">
        <v>147</v>
      </c>
      <c r="C38" s="5" t="s">
        <v>148</v>
      </c>
      <c r="D38" s="5" t="s">
        <v>149</v>
      </c>
      <c r="E38" s="5" t="s">
        <v>147</v>
      </c>
      <c r="F38" s="5" t="s">
        <v>150</v>
      </c>
      <c r="G38" s="5" t="s">
        <v>151</v>
      </c>
      <c r="H38" s="5" t="s">
        <v>152</v>
      </c>
      <c r="I38" s="5">
        <v>2</v>
      </c>
    </row>
    <row r="39" spans="1:9" ht="14.5" x14ac:dyDescent="0.3">
      <c r="A39" s="4">
        <f t="shared" ref="A39:A60" si="1">ROW()-6</f>
        <v>33</v>
      </c>
      <c r="B39" s="5" t="s">
        <v>153</v>
      </c>
      <c r="C39" s="5" t="s">
        <v>154</v>
      </c>
      <c r="D39" s="5" t="s">
        <v>149</v>
      </c>
      <c r="E39" s="5" t="s">
        <v>153</v>
      </c>
      <c r="F39" s="5" t="s">
        <v>155</v>
      </c>
      <c r="G39" s="5" t="s">
        <v>151</v>
      </c>
      <c r="H39" s="5" t="s">
        <v>156</v>
      </c>
      <c r="I39" s="5">
        <v>2</v>
      </c>
    </row>
    <row r="40" spans="1:9" ht="14.5" x14ac:dyDescent="0.3">
      <c r="A40" s="4">
        <f t="shared" si="1"/>
        <v>34</v>
      </c>
      <c r="B40" s="5" t="s">
        <v>157</v>
      </c>
      <c r="C40" s="5" t="s">
        <v>158</v>
      </c>
      <c r="D40" s="5" t="s">
        <v>149</v>
      </c>
      <c r="E40" s="5" t="s">
        <v>157</v>
      </c>
      <c r="F40" s="5" t="s">
        <v>0</v>
      </c>
      <c r="G40" s="5" t="s">
        <v>0</v>
      </c>
      <c r="H40" s="5" t="s">
        <v>0</v>
      </c>
      <c r="I40" s="5">
        <v>1</v>
      </c>
    </row>
    <row r="41" spans="1:9" ht="14.5" x14ac:dyDescent="0.3">
      <c r="A41" s="4">
        <f t="shared" si="1"/>
        <v>35</v>
      </c>
      <c r="B41" s="5" t="s">
        <v>159</v>
      </c>
      <c r="C41" s="5" t="s">
        <v>160</v>
      </c>
      <c r="D41" s="5" t="s">
        <v>149</v>
      </c>
      <c r="E41" s="5" t="s">
        <v>159</v>
      </c>
      <c r="F41" s="5" t="s">
        <v>0</v>
      </c>
      <c r="G41" s="5" t="s">
        <v>0</v>
      </c>
      <c r="H41" s="5" t="s">
        <v>0</v>
      </c>
      <c r="I41" s="5">
        <v>5</v>
      </c>
    </row>
    <row r="42" spans="1:9" ht="14.5" x14ac:dyDescent="0.3">
      <c r="A42" s="4">
        <f t="shared" si="1"/>
        <v>36</v>
      </c>
      <c r="B42" s="5" t="s">
        <v>142</v>
      </c>
      <c r="C42" s="5" t="s">
        <v>161</v>
      </c>
      <c r="D42" s="5" t="s">
        <v>149</v>
      </c>
      <c r="E42" s="5" t="s">
        <v>142</v>
      </c>
      <c r="F42" s="5" t="s">
        <v>0</v>
      </c>
      <c r="G42" s="5" t="s">
        <v>0</v>
      </c>
      <c r="H42" s="5" t="s">
        <v>0</v>
      </c>
      <c r="I42" s="5">
        <v>2</v>
      </c>
    </row>
    <row r="43" spans="1:9" ht="14.5" x14ac:dyDescent="0.3">
      <c r="A43" s="4">
        <f t="shared" si="1"/>
        <v>37</v>
      </c>
      <c r="B43" s="5" t="s">
        <v>162</v>
      </c>
      <c r="C43" s="5" t="s">
        <v>163</v>
      </c>
      <c r="D43" s="5" t="s">
        <v>149</v>
      </c>
      <c r="E43" s="5" t="s">
        <v>162</v>
      </c>
      <c r="F43" s="5" t="s">
        <v>0</v>
      </c>
      <c r="G43" s="5" t="s">
        <v>0</v>
      </c>
      <c r="H43" s="5" t="s">
        <v>0</v>
      </c>
      <c r="I43" s="5">
        <v>2</v>
      </c>
    </row>
    <row r="44" spans="1:9" ht="14.5" x14ac:dyDescent="0.3">
      <c r="A44" s="4">
        <f t="shared" si="1"/>
        <v>38</v>
      </c>
      <c r="B44" s="5" t="s">
        <v>164</v>
      </c>
      <c r="C44" s="5" t="s">
        <v>165</v>
      </c>
      <c r="D44" s="5" t="s">
        <v>166</v>
      </c>
      <c r="E44" s="5" t="s">
        <v>0</v>
      </c>
      <c r="F44" s="5" t="s">
        <v>164</v>
      </c>
      <c r="G44" s="5" t="s">
        <v>167</v>
      </c>
      <c r="H44" s="5" t="s">
        <v>168</v>
      </c>
      <c r="I44" s="5">
        <v>1</v>
      </c>
    </row>
    <row r="45" spans="1:9" ht="14.5" x14ac:dyDescent="0.3">
      <c r="A45" s="4">
        <f t="shared" si="1"/>
        <v>39</v>
      </c>
      <c r="B45" s="5" t="s">
        <v>169</v>
      </c>
      <c r="C45" s="5" t="s">
        <v>170</v>
      </c>
      <c r="D45" s="5" t="s">
        <v>171</v>
      </c>
      <c r="E45" s="5" t="s">
        <v>169</v>
      </c>
      <c r="F45" s="5" t="s">
        <v>172</v>
      </c>
      <c r="G45" s="5" t="s">
        <v>151</v>
      </c>
      <c r="H45" s="5" t="s">
        <v>173</v>
      </c>
      <c r="I45" s="5">
        <v>2</v>
      </c>
    </row>
    <row r="46" spans="1:9" ht="14.5" x14ac:dyDescent="0.3">
      <c r="A46" s="4">
        <f t="shared" si="1"/>
        <v>40</v>
      </c>
      <c r="B46" s="5" t="s">
        <v>174</v>
      </c>
      <c r="C46" s="5" t="s">
        <v>175</v>
      </c>
      <c r="D46" s="5" t="s">
        <v>176</v>
      </c>
      <c r="E46" s="5" t="s">
        <v>0</v>
      </c>
      <c r="F46" s="5" t="s">
        <v>174</v>
      </c>
      <c r="G46" s="5" t="s">
        <v>177</v>
      </c>
      <c r="H46" s="5" t="s">
        <v>178</v>
      </c>
      <c r="I46" s="5">
        <v>2</v>
      </c>
    </row>
    <row r="47" spans="1:9" ht="14.5" x14ac:dyDescent="0.3">
      <c r="A47" s="4">
        <f t="shared" si="1"/>
        <v>41</v>
      </c>
      <c r="B47" s="5" t="s">
        <v>179</v>
      </c>
      <c r="C47" s="5" t="s">
        <v>180</v>
      </c>
      <c r="D47" s="5" t="s">
        <v>181</v>
      </c>
      <c r="E47" s="5" t="s">
        <v>0</v>
      </c>
      <c r="F47" s="5" t="s">
        <v>0</v>
      </c>
      <c r="G47" s="5" t="s">
        <v>0</v>
      </c>
      <c r="H47" s="5" t="s">
        <v>0</v>
      </c>
      <c r="I47" s="5">
        <v>4</v>
      </c>
    </row>
    <row r="48" spans="1:9" ht="14.5" x14ac:dyDescent="0.3">
      <c r="A48" s="4">
        <f t="shared" si="1"/>
        <v>42</v>
      </c>
      <c r="B48" s="5" t="s">
        <v>182</v>
      </c>
      <c r="C48" s="5" t="s">
        <v>183</v>
      </c>
      <c r="D48" s="5" t="s">
        <v>184</v>
      </c>
      <c r="E48" s="5" t="s">
        <v>0</v>
      </c>
      <c r="F48" s="5" t="s">
        <v>182</v>
      </c>
      <c r="G48" s="5" t="s">
        <v>185</v>
      </c>
      <c r="H48" s="5" t="s">
        <v>186</v>
      </c>
      <c r="I48" s="5">
        <v>1</v>
      </c>
    </row>
    <row r="49" spans="1:9" ht="14.5" x14ac:dyDescent="0.3">
      <c r="A49" s="4">
        <f t="shared" si="1"/>
        <v>43</v>
      </c>
      <c r="B49" s="5" t="s">
        <v>187</v>
      </c>
      <c r="C49" s="5" t="s">
        <v>188</v>
      </c>
      <c r="D49" s="5" t="s">
        <v>189</v>
      </c>
      <c r="E49" s="5" t="s">
        <v>0</v>
      </c>
      <c r="F49" s="5" t="s">
        <v>187</v>
      </c>
      <c r="G49" s="5" t="s">
        <v>190</v>
      </c>
      <c r="H49" s="5" t="s">
        <v>191</v>
      </c>
      <c r="I49" s="5">
        <v>2</v>
      </c>
    </row>
    <row r="50" spans="1:9" ht="14.5" x14ac:dyDescent="0.3">
      <c r="A50" s="4">
        <f t="shared" si="1"/>
        <v>44</v>
      </c>
      <c r="B50" s="5" t="s">
        <v>192</v>
      </c>
      <c r="C50" s="5" t="s">
        <v>193</v>
      </c>
      <c r="D50" s="5" t="s">
        <v>194</v>
      </c>
      <c r="E50" s="5" t="s">
        <v>0</v>
      </c>
      <c r="F50" s="5" t="s">
        <v>192</v>
      </c>
      <c r="G50" s="5" t="s">
        <v>195</v>
      </c>
      <c r="H50" s="5" t="s">
        <v>196</v>
      </c>
      <c r="I50" s="5">
        <v>1</v>
      </c>
    </row>
    <row r="51" spans="1:9" ht="14.5" x14ac:dyDescent="0.3">
      <c r="A51" s="4">
        <f t="shared" si="1"/>
        <v>45</v>
      </c>
      <c r="B51" s="5" t="s">
        <v>197</v>
      </c>
      <c r="C51" s="5" t="s">
        <v>198</v>
      </c>
      <c r="D51" s="5" t="s">
        <v>199</v>
      </c>
      <c r="E51" s="5" t="s">
        <v>0</v>
      </c>
      <c r="F51" s="5" t="s">
        <v>197</v>
      </c>
      <c r="G51" s="5" t="s">
        <v>200</v>
      </c>
      <c r="H51" s="5" t="s">
        <v>201</v>
      </c>
      <c r="I51" s="5">
        <v>1</v>
      </c>
    </row>
    <row r="52" spans="1:9" ht="14.5" x14ac:dyDescent="0.3">
      <c r="A52" s="4">
        <f t="shared" si="1"/>
        <v>46</v>
      </c>
      <c r="B52" s="5" t="s">
        <v>202</v>
      </c>
      <c r="C52" s="5" t="s">
        <v>203</v>
      </c>
      <c r="D52" s="5" t="s">
        <v>204</v>
      </c>
      <c r="E52" s="5" t="s">
        <v>205</v>
      </c>
      <c r="F52" s="5" t="s">
        <v>202</v>
      </c>
      <c r="G52" s="5" t="s">
        <v>206</v>
      </c>
      <c r="H52" s="5" t="s">
        <v>207</v>
      </c>
      <c r="I52" s="5">
        <v>1</v>
      </c>
    </row>
    <row r="53" spans="1:9" ht="14.5" x14ac:dyDescent="0.3">
      <c r="A53" s="4">
        <f t="shared" si="1"/>
        <v>47</v>
      </c>
      <c r="B53" s="5" t="s">
        <v>208</v>
      </c>
      <c r="C53" s="5" t="s">
        <v>209</v>
      </c>
      <c r="D53" s="5" t="s">
        <v>210</v>
      </c>
      <c r="E53" s="5" t="s">
        <v>0</v>
      </c>
      <c r="F53" s="5" t="s">
        <v>208</v>
      </c>
      <c r="G53" s="5" t="s">
        <v>211</v>
      </c>
      <c r="H53" s="5" t="s">
        <v>212</v>
      </c>
      <c r="I53" s="5">
        <v>1</v>
      </c>
    </row>
    <row r="54" spans="1:9" ht="14.5" x14ac:dyDescent="0.3">
      <c r="A54" s="4">
        <f t="shared" si="1"/>
        <v>48</v>
      </c>
      <c r="B54" s="5" t="s">
        <v>213</v>
      </c>
      <c r="C54" s="5" t="s">
        <v>214</v>
      </c>
      <c r="D54" s="5" t="s">
        <v>215</v>
      </c>
      <c r="E54" s="5" t="s">
        <v>0</v>
      </c>
      <c r="F54" s="5" t="s">
        <v>213</v>
      </c>
      <c r="G54" s="5" t="s">
        <v>30</v>
      </c>
      <c r="H54" s="5" t="s">
        <v>216</v>
      </c>
      <c r="I54" s="5">
        <v>1</v>
      </c>
    </row>
    <row r="55" spans="1:9" ht="14.5" x14ac:dyDescent="0.3">
      <c r="A55" s="4">
        <f t="shared" si="1"/>
        <v>49</v>
      </c>
      <c r="B55" s="5" t="s">
        <v>217</v>
      </c>
      <c r="C55" s="5" t="s">
        <v>218</v>
      </c>
      <c r="D55" s="5" t="s">
        <v>215</v>
      </c>
      <c r="E55" s="5" t="s">
        <v>0</v>
      </c>
      <c r="F55" s="5" t="s">
        <v>217</v>
      </c>
      <c r="G55" s="5" t="s">
        <v>30</v>
      </c>
      <c r="H55" s="5" t="s">
        <v>216</v>
      </c>
      <c r="I55" s="5">
        <v>1</v>
      </c>
    </row>
    <row r="56" spans="1:9" ht="14.5" x14ac:dyDescent="0.3">
      <c r="A56" s="4">
        <f t="shared" si="1"/>
        <v>50</v>
      </c>
      <c r="B56" s="5" t="s">
        <v>219</v>
      </c>
      <c r="C56" s="5" t="s">
        <v>220</v>
      </c>
      <c r="D56" s="5" t="s">
        <v>215</v>
      </c>
      <c r="E56" s="5" t="s">
        <v>0</v>
      </c>
      <c r="F56" s="5" t="s">
        <v>219</v>
      </c>
      <c r="G56" s="5" t="s">
        <v>30</v>
      </c>
      <c r="H56" s="5" t="s">
        <v>216</v>
      </c>
      <c r="I56" s="5">
        <v>1</v>
      </c>
    </row>
    <row r="57" spans="1:9" ht="14.5" x14ac:dyDescent="0.3">
      <c r="A57" s="4">
        <f t="shared" si="1"/>
        <v>51</v>
      </c>
      <c r="B57" s="5" t="s">
        <v>221</v>
      </c>
      <c r="C57" s="5" t="s">
        <v>222</v>
      </c>
      <c r="D57" s="5" t="s">
        <v>215</v>
      </c>
      <c r="E57" s="5" t="s">
        <v>0</v>
      </c>
      <c r="F57" s="5" t="s">
        <v>221</v>
      </c>
      <c r="G57" s="5" t="s">
        <v>30</v>
      </c>
      <c r="H57" s="5" t="s">
        <v>216</v>
      </c>
      <c r="I57" s="5">
        <v>1</v>
      </c>
    </row>
    <row r="58" spans="1:9" ht="14.5" x14ac:dyDescent="0.3">
      <c r="A58" s="4">
        <f t="shared" si="1"/>
        <v>52</v>
      </c>
      <c r="B58" s="5" t="s">
        <v>223</v>
      </c>
      <c r="C58" s="5" t="s">
        <v>224</v>
      </c>
      <c r="D58" s="5" t="s">
        <v>225</v>
      </c>
      <c r="E58" s="5" t="s">
        <v>0</v>
      </c>
      <c r="F58" s="5" t="s">
        <v>0</v>
      </c>
      <c r="G58" s="5" t="s">
        <v>0</v>
      </c>
      <c r="H58" s="5" t="s">
        <v>0</v>
      </c>
      <c r="I58" s="5">
        <v>1</v>
      </c>
    </row>
    <row r="59" spans="1:9" ht="14.5" x14ac:dyDescent="0.3">
      <c r="A59" s="4">
        <f t="shared" si="1"/>
        <v>53</v>
      </c>
      <c r="B59" s="5" t="s">
        <v>226</v>
      </c>
      <c r="C59" s="5" t="s">
        <v>227</v>
      </c>
      <c r="D59" s="5" t="s">
        <v>225</v>
      </c>
      <c r="E59" s="5" t="s">
        <v>0</v>
      </c>
      <c r="F59" s="5" t="s">
        <v>0</v>
      </c>
      <c r="G59" s="5" t="s">
        <v>0</v>
      </c>
      <c r="H59" s="5" t="s">
        <v>0</v>
      </c>
      <c r="I59" s="5">
        <v>1</v>
      </c>
    </row>
    <row r="60" spans="1:9" ht="14.5" x14ac:dyDescent="0.3">
      <c r="A60" s="4">
        <f t="shared" si="1"/>
        <v>54</v>
      </c>
      <c r="B60" s="5" t="s">
        <v>228</v>
      </c>
      <c r="C60" s="5" t="s">
        <v>229</v>
      </c>
      <c r="D60" s="5" t="s">
        <v>230</v>
      </c>
      <c r="E60" s="5" t="s">
        <v>0</v>
      </c>
      <c r="F60" s="5" t="s">
        <v>228</v>
      </c>
      <c r="G60" s="5" t="s">
        <v>231</v>
      </c>
      <c r="H60" s="5" t="s">
        <v>232</v>
      </c>
      <c r="I60" s="5">
        <v>1</v>
      </c>
    </row>
    <row r="61" spans="1:9" ht="14" x14ac:dyDescent="0.3"/>
  </sheetData>
  <mergeCells count="3">
    <mergeCell ref="A1:C5"/>
    <mergeCell ref="D1:D2"/>
    <mergeCell ref="E1:E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220" zoomScaleNormal="220" workbookViewId="0">
      <selection activeCell="B14" sqref="B14"/>
    </sheetView>
  </sheetViews>
  <sheetFormatPr defaultColWidth="9" defaultRowHeight="14.25" customHeight="1" x14ac:dyDescent="0.25"/>
  <cols>
    <col min="1" max="1" width="23.6328125" customWidth="1"/>
    <col min="2" max="2" width="57.453125" customWidth="1"/>
  </cols>
  <sheetData>
    <row r="1" spans="1:2" ht="14.25" customHeight="1" x14ac:dyDescent="0.3">
      <c r="A1" s="2" t="s">
        <v>233</v>
      </c>
      <c r="B1" s="2" t="s">
        <v>4</v>
      </c>
    </row>
    <row r="2" spans="1:2" ht="14.25" customHeight="1" x14ac:dyDescent="0.3">
      <c r="A2" s="2" t="s">
        <v>234</v>
      </c>
      <c r="B2" s="2" t="s">
        <v>235</v>
      </c>
    </row>
    <row r="3" spans="1:2" ht="14.25" customHeight="1" x14ac:dyDescent="0.3">
      <c r="A3" s="2" t="s">
        <v>236</v>
      </c>
      <c r="B3" s="2" t="s">
        <v>237</v>
      </c>
    </row>
    <row r="4" spans="1:2" ht="14.25" customHeight="1" x14ac:dyDescent="0.3">
      <c r="A4" s="2" t="s">
        <v>238</v>
      </c>
      <c r="B4" s="2" t="s">
        <v>6</v>
      </c>
    </row>
    <row r="5" spans="1:2" ht="14.25" customHeight="1" x14ac:dyDescent="0.3">
      <c r="A5" s="2" t="s">
        <v>239</v>
      </c>
      <c r="B5" s="2" t="s">
        <v>6</v>
      </c>
    </row>
    <row r="6" spans="1:2" ht="14.25" customHeight="1" x14ac:dyDescent="0.3">
      <c r="A6" s="2" t="s">
        <v>240</v>
      </c>
      <c r="B6" s="2">
        <v>91</v>
      </c>
    </row>
    <row r="7" spans="1:2" ht="14.25" customHeight="1" x14ac:dyDescent="0.3">
      <c r="A7" s="2" t="s">
        <v>241</v>
      </c>
      <c r="B7" s="2" t="s">
        <v>242</v>
      </c>
    </row>
    <row r="8" spans="1:2" ht="14.25" customHeight="1" x14ac:dyDescent="0.3">
      <c r="A8" s="2" t="s">
        <v>243</v>
      </c>
      <c r="B8" s="2" t="s">
        <v>244</v>
      </c>
    </row>
    <row r="9" spans="1:2" ht="14.25" customHeight="1" x14ac:dyDescent="0.3">
      <c r="A9" s="2" t="s">
        <v>245</v>
      </c>
      <c r="B9" s="2" t="s">
        <v>8</v>
      </c>
    </row>
    <row r="10" spans="1:2" ht="14.25" customHeight="1" x14ac:dyDescent="0.3">
      <c r="A10" s="2" t="s">
        <v>246</v>
      </c>
      <c r="B10" s="2" t="s">
        <v>2</v>
      </c>
    </row>
    <row r="11" spans="1:2" ht="14.25" customHeight="1" x14ac:dyDescent="0.3">
      <c r="A11" s="2" t="s">
        <v>247</v>
      </c>
      <c r="B11" s="2" t="s">
        <v>248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2026-03-24T13:26:08Z</dcterms:modified>
  <cp:category/>
</cp:coreProperties>
</file>